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배포기록" sheetId="2" state="visible" r:id="rId4"/>
    <sheet name="문의접수" sheetId="3" state="visible" r:id="rId5"/>
    <sheet name="안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<sst xmlns="http://schemas.openxmlformats.org/spreadsheetml/2006/main" count="118" uniqueCount="98">
  <si>
    <t xml:space="preserve">게릴라 배포 실험 — 요약</t>
  </si>
  <si>
    <r>
      <rPr>
        <i val="true"/>
        <sz val="9"/>
        <color rgb="FF6B7A8C"/>
        <rFont val="WenQuanYi Zen Hei"/>
        <family val="2"/>
      </rPr>
      <t xml:space="preserve">플레이북 </t>
    </r>
    <r>
      <rPr>
        <i val="true"/>
        <sz val="9"/>
        <color rgb="FF6B7A8C"/>
        <rFont val="Arial"/>
        <family val="0"/>
        <charset val="1"/>
      </rPr>
      <t xml:space="preserve">§7.3 </t>
    </r>
    <r>
      <rPr>
        <i val="true"/>
        <sz val="9"/>
        <color rgb="FF6B7A8C"/>
        <rFont val="WenQuanYi Zen Hei"/>
        <family val="2"/>
      </rPr>
      <t xml:space="preserve">단지 실험</t>
    </r>
    <r>
      <rPr>
        <i val="true"/>
        <sz val="9"/>
        <color rgb="FF6B7A8C"/>
        <rFont val="Arial"/>
        <family val="0"/>
        <charset val="1"/>
      </rPr>
      <t xml:space="preserve">. </t>
    </r>
    <r>
      <rPr>
        <i val="true"/>
        <sz val="9"/>
        <color rgb="FF6B7A8C"/>
        <rFont val="WenQuanYi Zen Hei"/>
        <family val="2"/>
      </rPr>
      <t xml:space="preserve">아래 숫자는 전부 자동 계산됩니다 — 노란 칸만 직접 입력하세요</t>
    </r>
    <r>
      <rPr>
        <i val="true"/>
        <sz val="9"/>
        <color rgb="FF6B7A8C"/>
        <rFont val="Arial"/>
        <family val="0"/>
        <charset val="1"/>
      </rPr>
      <t xml:space="preserve">.</t>
    </r>
  </si>
  <si>
    <t xml:space="preserve">판정 기준 전환율</t>
  </si>
  <si>
    <r>
      <rPr>
        <i val="true"/>
        <sz val="9"/>
        <color rgb="FF6B7A8C"/>
        <rFont val="WenQuanYi Zen Hei"/>
        <family val="2"/>
      </rPr>
      <t xml:space="preserve">← 플레이북 </t>
    </r>
    <r>
      <rPr>
        <i val="true"/>
        <sz val="9"/>
        <color rgb="FF6B7A8C"/>
        <rFont val="Arial"/>
        <family val="0"/>
        <charset val="1"/>
      </rPr>
      <t xml:space="preserve">§7.2 </t>
    </r>
    <r>
      <rPr>
        <i val="true"/>
        <sz val="9"/>
        <color rgb="FF6B7A8C"/>
        <rFont val="WenQuanYi Zen Hei"/>
        <family val="2"/>
      </rPr>
      <t xml:space="preserve">보수 시나리오 하한</t>
    </r>
    <r>
      <rPr>
        <i val="true"/>
        <sz val="9"/>
        <color rgb="FF6B7A8C"/>
        <rFont val="Arial"/>
        <family val="0"/>
        <charset val="1"/>
      </rPr>
      <t xml:space="preserve">. </t>
    </r>
    <r>
      <rPr>
        <i val="true"/>
        <sz val="9"/>
        <color rgb="FF6B7A8C"/>
        <rFont val="WenQuanYi Zen Hei"/>
        <family val="2"/>
      </rPr>
      <t xml:space="preserve">이 값을 넘으면 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집중</t>
    </r>
    <r>
      <rPr>
        <i val="true"/>
        <sz val="9"/>
        <color rgb="FF6B7A8C"/>
        <rFont val="Arial"/>
        <family val="0"/>
        <charset val="1"/>
      </rPr>
      <t xml:space="preserve">', </t>
    </r>
    <r>
      <rPr>
        <i val="true"/>
        <sz val="9"/>
        <color rgb="FF6B7A8C"/>
        <rFont val="WenQuanYi Zen Hei"/>
        <family val="2"/>
      </rPr>
      <t xml:space="preserve">못 넘으면 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보류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로 판정합니다</t>
    </r>
    <r>
      <rPr>
        <i val="true"/>
        <sz val="9"/>
        <color rgb="FF6B7A8C"/>
        <rFont val="Arial"/>
        <family val="0"/>
        <charset val="1"/>
      </rPr>
      <t xml:space="preserve">.</t>
    </r>
  </si>
  <si>
    <t xml:space="preserve">단지별 — 어디에 자원을 몰 것인가</t>
  </si>
  <si>
    <t xml:space="preserve">구분</t>
  </si>
  <si>
    <t xml:space="preserve">배포 대수</t>
  </si>
  <si>
    <t xml:space="preserve">문의 수</t>
  </si>
  <si>
    <t xml:space="preserve">구독 전환</t>
  </si>
  <si>
    <t xml:space="preserve">문의율</t>
  </si>
  <si>
    <t xml:space="preserve">전환율</t>
  </si>
  <si>
    <t xml:space="preserve">판정</t>
  </si>
  <si>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단지</t>
    </r>
  </si>
  <si>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단지</t>
    </r>
  </si>
  <si>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단지</t>
    </r>
  </si>
  <si>
    <t xml:space="preserve">회차별 — 반복 노출이 전환을 올리는가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</si>
  <si>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배포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</si>
  <si>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배포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</si>
  <si>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차 배포</t>
    </r>
  </si>
  <si>
    <t xml:space="preserve">채널별 — 어느 경로로 들어오는가</t>
  </si>
  <si>
    <t xml:space="preserve">유입경로</t>
  </si>
  <si>
    <r>
      <rPr>
        <b val="true"/>
        <sz val="10"/>
        <color rgb="FFFFFFFF"/>
        <rFont val="WenQuanYi Zen Hei"/>
        <family val="2"/>
      </rPr>
      <t xml:space="preserve">성사율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문의 대비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</si>
  <si>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QR</t>
    </r>
    <r>
      <rPr>
        <sz val="10"/>
        <rFont val="WenQuanYi Zen Hei"/>
        <family val="2"/>
      </rPr>
      <t xml:space="preserve">문자</t>
    </r>
  </si>
  <si>
    <t xml:space="preserve">전화</t>
  </si>
  <si>
    <t xml:space="preserve">카톡</t>
  </si>
  <si>
    <t xml:space="preserve">대면</t>
  </si>
  <si>
    <t xml:space="preserve">인스타</t>
  </si>
  <si>
    <t xml:space="preserve">네이버</t>
  </si>
  <si>
    <t xml:space="preserve">당근</t>
  </si>
  <si>
    <t xml:space="preserve">기타</t>
  </si>
  <si>
    <r>
      <rPr>
        <i val="true"/>
        <sz val="9"/>
        <color rgb="FF6B7A8C"/>
        <rFont val="WenQuanYi Zen Hei"/>
        <family val="2"/>
      </rPr>
      <t xml:space="preserve">※ 성사율의 분모는 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문의 수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입니다</t>
    </r>
    <r>
      <rPr>
        <i val="true"/>
        <sz val="9"/>
        <color rgb="FF6B7A8C"/>
        <rFont val="Arial"/>
        <family val="0"/>
        <charset val="1"/>
      </rPr>
      <t xml:space="preserve">. </t>
    </r>
    <r>
      <rPr>
        <i val="true"/>
        <sz val="9"/>
        <color rgb="FF6B7A8C"/>
        <rFont val="WenQuanYi Zen Hei"/>
        <family val="2"/>
      </rPr>
      <t xml:space="preserve">위 두 블록의 전환율</t>
    </r>
    <r>
      <rPr>
        <i val="true"/>
        <sz val="9"/>
        <color rgb="FF6B7A8C"/>
        <rFont val="Arial"/>
        <family val="0"/>
        <charset val="1"/>
      </rPr>
      <t xml:space="preserve">(</t>
    </r>
    <r>
      <rPr>
        <i val="true"/>
        <sz val="9"/>
        <color rgb="FF6B7A8C"/>
        <rFont val="WenQuanYi Zen Hei"/>
        <family val="2"/>
      </rPr>
      <t xml:space="preserve">분모</t>
    </r>
    <r>
      <rPr>
        <i val="true"/>
        <sz val="9"/>
        <color rgb="FF6B7A8C"/>
        <rFont val="Arial"/>
        <family val="0"/>
        <charset val="1"/>
      </rPr>
      <t xml:space="preserve">=</t>
    </r>
    <r>
      <rPr>
        <i val="true"/>
        <sz val="9"/>
        <color rgb="FF6B7A8C"/>
        <rFont val="WenQuanYi Zen Hei"/>
        <family val="2"/>
      </rPr>
      <t xml:space="preserve">배포 대수</t>
    </r>
    <r>
      <rPr>
        <i val="true"/>
        <sz val="9"/>
        <color rgb="FF6B7A8C"/>
        <rFont val="Arial"/>
        <family val="0"/>
        <charset val="1"/>
      </rPr>
      <t xml:space="preserve">)</t>
    </r>
    <r>
      <rPr>
        <i val="true"/>
        <sz val="9"/>
        <color rgb="FF6B7A8C"/>
        <rFont val="WenQuanYi Zen Hei"/>
        <family val="2"/>
      </rPr>
      <t xml:space="preserve">과 다른 지표이니 섞어서 비교하지 마세요</t>
    </r>
    <r>
      <rPr>
        <i val="true"/>
        <sz val="9"/>
        <color rgb="FF6B7A8C"/>
        <rFont val="Arial"/>
        <family val="0"/>
        <charset val="1"/>
      </rPr>
      <t xml:space="preserve">.</t>
    </r>
  </si>
  <si>
    <t xml:space="preserve">종합</t>
  </si>
  <si>
    <t xml:space="preserve">총 배포 대수</t>
  </si>
  <si>
    <t xml:space="preserve">총 문의 수</t>
  </si>
  <si>
    <t xml:space="preserve">총 구독 전환</t>
  </si>
  <si>
    <t xml:space="preserve">종합 전환율</t>
  </si>
  <si>
    <t xml:space="preserve">월 증가 매출</t>
  </si>
  <si>
    <t xml:space="preserve">자원 집중 대상</t>
  </si>
  <si>
    <r>
      <rPr>
        <i val="true"/>
        <sz val="9"/>
        <color rgb="FF6B7A8C"/>
        <rFont val="Arial"/>
        <family val="0"/>
        <charset val="1"/>
      </rPr>
      <t xml:space="preserve">← 4</t>
    </r>
    <r>
      <rPr>
        <i val="true"/>
        <sz val="9"/>
        <color rgb="FF6B7A8C"/>
        <rFont val="WenQuanYi Zen Hei"/>
        <family val="2"/>
      </rPr>
      <t xml:space="preserve">주 후 이 단지에 자원을 몰아넣고 나머지에서 뺍니다 </t>
    </r>
    <r>
      <rPr>
        <i val="true"/>
        <sz val="9"/>
        <color rgb="FF6B7A8C"/>
        <rFont val="Arial"/>
        <family val="0"/>
        <charset val="1"/>
      </rPr>
      <t xml:space="preserve">(</t>
    </r>
    <r>
      <rPr>
        <i val="true"/>
        <sz val="9"/>
        <color rgb="FF6B7A8C"/>
        <rFont val="WenQuanYi Zen Hei"/>
        <family val="2"/>
      </rPr>
      <t xml:space="preserve">플레이북 </t>
    </r>
    <r>
      <rPr>
        <i val="true"/>
        <sz val="9"/>
        <color rgb="FF6B7A8C"/>
        <rFont val="Arial"/>
        <family val="0"/>
        <charset val="1"/>
      </rPr>
      <t xml:space="preserve">§0 </t>
    </r>
    <r>
      <rPr>
        <i val="true"/>
        <sz val="9"/>
        <color rgb="FF6B7A8C"/>
        <rFont val="WenQuanYi Zen Hei"/>
        <family val="2"/>
      </rPr>
      <t xml:space="preserve">초집중 시나리오</t>
    </r>
    <r>
      <rPr>
        <i val="true"/>
        <sz val="9"/>
        <color rgb="FF6B7A8C"/>
        <rFont val="Arial"/>
        <family val="0"/>
        <charset val="1"/>
      </rPr>
      <t xml:space="preserve">).</t>
    </r>
  </si>
  <si>
    <t xml:space="preserve">배포 기록 — 코드별 분모</t>
  </si>
  <si>
    <r>
      <rPr>
        <i val="true"/>
        <sz val="9"/>
        <color rgb="FF6B7A8C"/>
        <rFont val="WenQuanYi Zen Hei"/>
        <family val="2"/>
      </rPr>
      <t xml:space="preserve">노란 칸</t>
    </r>
    <r>
      <rPr>
        <i val="true"/>
        <sz val="9"/>
        <color rgb="FF6B7A8C"/>
        <rFont val="Arial"/>
        <family val="0"/>
        <charset val="1"/>
      </rPr>
      <t xml:space="preserve">(</t>
    </r>
    <r>
      <rPr>
        <i val="true"/>
        <sz val="9"/>
        <color rgb="FF6B7A8C"/>
        <rFont val="WenQuanYi Zen Hei"/>
        <family val="2"/>
      </rPr>
      <t xml:space="preserve">단지명</t>
    </r>
    <r>
      <rPr>
        <i val="true"/>
        <sz val="9"/>
        <color rgb="FF6B7A8C"/>
        <rFont val="Arial"/>
        <family val="0"/>
        <charset val="1"/>
      </rPr>
      <t xml:space="preserve">·</t>
    </r>
    <r>
      <rPr>
        <i val="true"/>
        <sz val="9"/>
        <color rgb="FF6B7A8C"/>
        <rFont val="WenQuanYi Zen Hei"/>
        <family val="2"/>
      </rPr>
      <t xml:space="preserve">배포일</t>
    </r>
    <r>
      <rPr>
        <i val="true"/>
        <sz val="9"/>
        <color rgb="FF6B7A8C"/>
        <rFont val="Arial"/>
        <family val="0"/>
        <charset val="1"/>
      </rPr>
      <t xml:space="preserve">·</t>
    </r>
    <r>
      <rPr>
        <i val="true"/>
        <sz val="9"/>
        <color rgb="FF6B7A8C"/>
        <rFont val="WenQuanYi Zen Hei"/>
        <family val="2"/>
      </rPr>
      <t xml:space="preserve">배포 대수</t>
    </r>
    <r>
      <rPr>
        <i val="true"/>
        <sz val="9"/>
        <color rgb="FF6B7A8C"/>
        <rFont val="Arial"/>
        <family val="0"/>
        <charset val="1"/>
      </rPr>
      <t xml:space="preserve">)</t>
    </r>
    <r>
      <rPr>
        <i val="true"/>
        <sz val="9"/>
        <color rgb="FF6B7A8C"/>
        <rFont val="WenQuanYi Zen Hei"/>
        <family val="2"/>
      </rPr>
      <t xml:space="preserve">만 직접 입력하세요</t>
    </r>
    <r>
      <rPr>
        <i val="true"/>
        <sz val="9"/>
        <color rgb="FF6B7A8C"/>
        <rFont val="Arial"/>
        <family val="0"/>
        <charset val="1"/>
      </rPr>
      <t xml:space="preserve">. </t>
    </r>
    <r>
      <rPr>
        <i val="true"/>
        <sz val="9"/>
        <color rgb="FF6B7A8C"/>
        <rFont val="WenQuanYi Zen Hei"/>
        <family val="2"/>
      </rPr>
      <t xml:space="preserve">문의 수부터는 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문의접수</t>
    </r>
    <r>
      <rPr>
        <i val="true"/>
        <sz val="9"/>
        <color rgb="FF6B7A8C"/>
        <rFont val="Arial"/>
        <family val="0"/>
        <charset val="1"/>
      </rPr>
      <t xml:space="preserve">' </t>
    </r>
    <r>
      <rPr>
        <i val="true"/>
        <sz val="9"/>
        <color rgb="FF6B7A8C"/>
        <rFont val="WenQuanYi Zen Hei"/>
        <family val="2"/>
      </rPr>
      <t xml:space="preserve">시트에서 자동으로 집계됩니다</t>
    </r>
    <r>
      <rPr>
        <i val="true"/>
        <sz val="9"/>
        <color rgb="FF6B7A8C"/>
        <rFont val="Arial"/>
        <family val="0"/>
        <charset val="1"/>
      </rPr>
      <t xml:space="preserve">.</t>
    </r>
  </si>
  <si>
    <t xml:space="preserve">코드</t>
  </si>
  <si>
    <t xml:space="preserve">단지명</t>
  </si>
  <si>
    <t xml:space="preserve">배포일</t>
  </si>
  <si>
    <t xml:space="preserve">단지</t>
  </si>
  <si>
    <t xml:space="preserve">회차</t>
  </si>
  <si>
    <t xml:space="preserve">WJ-A1</t>
  </si>
  <si>
    <t xml:space="preserve">WJ-A2</t>
  </si>
  <si>
    <t xml:space="preserve">WJ-A3</t>
  </si>
  <si>
    <t xml:space="preserve">WJ-B1</t>
  </si>
  <si>
    <t xml:space="preserve">WJ-B2</t>
  </si>
  <si>
    <t xml:space="preserve">WJ-B3</t>
  </si>
  <si>
    <t xml:space="preserve">WJ-C1</t>
  </si>
  <si>
    <t xml:space="preserve">WJ-C2</t>
  </si>
  <si>
    <t xml:space="preserve">WJ-C3</t>
  </si>
  <si>
    <t xml:space="preserve">합계</t>
  </si>
  <si>
    <r>
      <rPr>
        <i val="true"/>
        <sz val="9"/>
        <color rgb="FF6B7A8C"/>
        <rFont val="Arial"/>
        <family val="0"/>
        <charset val="1"/>
      </rPr>
      <t xml:space="preserve">※ '</t>
    </r>
    <r>
      <rPr>
        <i val="true"/>
        <sz val="9"/>
        <color rgb="FF6B7A8C"/>
        <rFont val="WenQuanYi Zen Hei"/>
        <family val="2"/>
      </rPr>
      <t xml:space="preserve">단지</t>
    </r>
    <r>
      <rPr>
        <i val="true"/>
        <sz val="9"/>
        <color rgb="FF6B7A8C"/>
        <rFont val="Arial"/>
        <family val="0"/>
        <charset val="1"/>
      </rPr>
      <t xml:space="preserve">'·'</t>
    </r>
    <r>
      <rPr>
        <i val="true"/>
        <sz val="9"/>
        <color rgb="FF6B7A8C"/>
        <rFont val="WenQuanYi Zen Hei"/>
        <family val="2"/>
      </rPr>
      <t xml:space="preserve">회차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는 코드에서 자동으로 뽑은 값입니다</t>
    </r>
    <r>
      <rPr>
        <i val="true"/>
        <sz val="9"/>
        <color rgb="FF6B7A8C"/>
        <rFont val="Arial"/>
        <family val="0"/>
        <charset val="1"/>
      </rPr>
      <t xml:space="preserve">. </t>
    </r>
    <r>
      <rPr>
        <i val="true"/>
        <sz val="9"/>
        <color rgb="FF6B7A8C"/>
        <rFont val="WenQuanYi Zen Hei"/>
        <family val="2"/>
      </rPr>
      <t xml:space="preserve">건드리지 마세요</t>
    </r>
    <r>
      <rPr>
        <i val="true"/>
        <sz val="9"/>
        <color rgb="FF6B7A8C"/>
        <rFont val="Arial"/>
        <family val="0"/>
        <charset val="1"/>
      </rPr>
      <t xml:space="preserve">.</t>
    </r>
  </si>
  <si>
    <r>
      <rPr>
        <i val="true"/>
        <sz val="9"/>
        <color rgb="FF6B7A8C"/>
        <rFont val="WenQuanYi Zen Hei"/>
        <family val="2"/>
      </rPr>
      <t xml:space="preserve">※ 배포 대수는 배포 당일 차에서 바로 적으세요</t>
    </r>
    <r>
      <rPr>
        <i val="true"/>
        <sz val="9"/>
        <color rgb="FF6B7A8C"/>
        <rFont val="Arial"/>
        <family val="0"/>
        <charset val="1"/>
      </rPr>
      <t xml:space="preserve">. </t>
    </r>
    <r>
      <rPr>
        <i val="true"/>
        <sz val="9"/>
        <color rgb="FF6B7A8C"/>
        <rFont val="WenQuanYi Zen Hei"/>
        <family val="2"/>
      </rPr>
      <t xml:space="preserve">이 숫자가 없으면 전환율의 분모가 없어 실험 전체가 무의미해집니다</t>
    </r>
    <r>
      <rPr>
        <i val="true"/>
        <sz val="9"/>
        <color rgb="FF6B7A8C"/>
        <rFont val="Arial"/>
        <family val="0"/>
        <charset val="1"/>
      </rPr>
      <t xml:space="preserve">.</t>
    </r>
  </si>
  <si>
    <r>
      <rPr>
        <b val="true"/>
        <sz val="14"/>
        <color rgb="FF16365F"/>
        <rFont val="WenQuanYi Zen Hei"/>
        <family val="2"/>
      </rPr>
      <t xml:space="preserve">문의 접수 — 문의 </t>
    </r>
    <r>
      <rPr>
        <b val="true"/>
        <sz val="14"/>
        <color rgb="FF16365F"/>
        <rFont val="Arial"/>
        <family val="0"/>
        <charset val="1"/>
      </rPr>
      <t xml:space="preserve">1</t>
    </r>
    <r>
      <rPr>
        <b val="true"/>
        <sz val="14"/>
        <color rgb="FF16365F"/>
        <rFont val="WenQuanYi Zen Hei"/>
        <family val="2"/>
      </rPr>
      <t xml:space="preserve">건당 </t>
    </r>
    <r>
      <rPr>
        <b val="true"/>
        <sz val="14"/>
        <color rgb="FF16365F"/>
        <rFont val="Arial"/>
        <family val="0"/>
        <charset val="1"/>
      </rPr>
      <t xml:space="preserve">1</t>
    </r>
    <r>
      <rPr>
        <b val="true"/>
        <sz val="14"/>
        <color rgb="FF16365F"/>
        <rFont val="WenQuanYi Zen Hei"/>
        <family val="2"/>
      </rPr>
      <t xml:space="preserve">행</t>
    </r>
  </si>
  <si>
    <r>
      <rPr>
        <i val="true"/>
        <sz val="9"/>
        <color rgb="FF6B7A8C"/>
        <rFont val="WenQuanYi Zen Hei"/>
        <family val="2"/>
      </rPr>
      <t xml:space="preserve">문의가 오면 이 시트에 한 줄 추가하세요</t>
    </r>
    <r>
      <rPr>
        <i val="true"/>
        <sz val="9"/>
        <color rgb="FF6B7A8C"/>
        <rFont val="Arial"/>
        <family val="0"/>
        <charset val="1"/>
      </rPr>
      <t xml:space="preserve">. QR</t>
    </r>
    <r>
      <rPr>
        <i val="true"/>
        <sz val="9"/>
        <color rgb="FF6B7A8C"/>
        <rFont val="WenQuanYi Zen Hei"/>
        <family val="2"/>
      </rPr>
      <t xml:space="preserve">로 온 문자에는 코드가 이미 찍혀 있고</t>
    </r>
    <r>
      <rPr>
        <i val="true"/>
        <sz val="9"/>
        <color rgb="FF6B7A8C"/>
        <rFont val="Arial"/>
        <family val="0"/>
        <charset val="1"/>
      </rPr>
      <t xml:space="preserve">, </t>
    </r>
    <r>
      <rPr>
        <i val="true"/>
        <sz val="9"/>
        <color rgb="FF6B7A8C"/>
        <rFont val="WenQuanYi Zen Hei"/>
        <family val="2"/>
      </rPr>
      <t xml:space="preserve">전화로 오면 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코드 말씀해주시면 첫 달 </t>
    </r>
    <r>
      <rPr>
        <i val="true"/>
        <sz val="9"/>
        <color rgb="FF6B7A8C"/>
        <rFont val="Arial"/>
        <family val="0"/>
        <charset val="1"/>
      </rPr>
      <t xml:space="preserve">1</t>
    </r>
    <r>
      <rPr>
        <i val="true"/>
        <sz val="9"/>
        <color rgb="FF6B7A8C"/>
        <rFont val="WenQuanYi Zen Hei"/>
        <family val="2"/>
      </rPr>
      <t xml:space="preserve">만 원 할인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으로 받아냅니다</t>
    </r>
    <r>
      <rPr>
        <i val="true"/>
        <sz val="9"/>
        <color rgb="FF6B7A8C"/>
        <rFont val="Arial"/>
        <family val="0"/>
        <charset val="1"/>
      </rPr>
      <t xml:space="preserve">.</t>
    </r>
  </si>
  <si>
    <t xml:space="preserve">접수일</t>
  </si>
  <si>
    <t xml:space="preserve">이름</t>
  </si>
  <si>
    <t xml:space="preserve">연락처</t>
  </si>
  <si>
    <t xml:space="preserve">첫 방문일</t>
  </si>
  <si>
    <t xml:space="preserve">월 구독료</t>
  </si>
  <si>
    <t xml:space="preserve">메모</t>
  </si>
  <si>
    <t xml:space="preserve">2026-08-12</t>
  </si>
  <si>
    <t xml:space="preserve">김○○</t>
  </si>
  <si>
    <t xml:space="preserve">010-0000-0000</t>
  </si>
  <si>
    <r>
      <rPr>
        <i val="true"/>
        <sz val="9"/>
        <color rgb="FF6B7A8C"/>
        <rFont val="Arial"/>
        <family val="0"/>
        <charset val="1"/>
      </rPr>
      <t xml:space="preserve">QR</t>
    </r>
    <r>
      <rPr>
        <i val="true"/>
        <sz val="9"/>
        <color rgb="FF6B7A8C"/>
        <rFont val="WenQuanYi Zen Hei"/>
        <family val="2"/>
      </rPr>
      <t xml:space="preserve">문자</t>
    </r>
  </si>
  <si>
    <t xml:space="preserve">Y</t>
  </si>
  <si>
    <t xml:space="preserve">2026-08-14</t>
  </si>
  <si>
    <r>
      <rPr>
        <i val="true"/>
        <sz val="9"/>
        <color rgb="FF6B7A8C"/>
        <rFont val="WenQuanYi Zen Hei"/>
        <family val="2"/>
      </rPr>
      <t xml:space="preserve">← 예시 행</t>
    </r>
    <r>
      <rPr>
        <i val="true"/>
        <sz val="9"/>
        <color rgb="FF6B7A8C"/>
        <rFont val="Arial"/>
        <family val="0"/>
        <charset val="1"/>
      </rPr>
      <t xml:space="preserve">. </t>
    </r>
    <r>
      <rPr>
        <i val="true"/>
        <sz val="9"/>
        <color rgb="FF6B7A8C"/>
        <rFont val="WenQuanYi Zen Hei"/>
        <family val="2"/>
      </rPr>
      <t xml:space="preserve">집계 범위</t>
    </r>
    <r>
      <rPr>
        <i val="true"/>
        <sz val="9"/>
        <color rgb="FF6B7A8C"/>
        <rFont val="Arial"/>
        <family val="0"/>
        <charset val="1"/>
      </rPr>
      <t xml:space="preserve">(5</t>
    </r>
    <r>
      <rPr>
        <i val="true"/>
        <sz val="9"/>
        <color rgb="FF6B7A8C"/>
        <rFont val="WenQuanYi Zen Hei"/>
        <family val="2"/>
      </rPr>
      <t xml:space="preserve">행부터</t>
    </r>
    <r>
      <rPr>
        <i val="true"/>
        <sz val="9"/>
        <color rgb="FF6B7A8C"/>
        <rFont val="Arial"/>
        <family val="0"/>
        <charset val="1"/>
      </rPr>
      <t xml:space="preserve">) </t>
    </r>
    <r>
      <rPr>
        <i val="true"/>
        <sz val="9"/>
        <color rgb="FF6B7A8C"/>
        <rFont val="WenQuanYi Zen Hei"/>
        <family val="2"/>
      </rPr>
      <t xml:space="preserve">밖이라 숫자에 잡히지 않습니다</t>
    </r>
    <r>
      <rPr>
        <i val="true"/>
        <sz val="9"/>
        <color rgb="FF6B7A8C"/>
        <rFont val="Arial"/>
        <family val="0"/>
        <charset val="1"/>
      </rPr>
      <t xml:space="preserve">. </t>
    </r>
    <r>
      <rPr>
        <i val="true"/>
        <sz val="9"/>
        <color rgb="FF6B7A8C"/>
        <rFont val="WenQuanYi Zen Hei"/>
        <family val="2"/>
      </rPr>
      <t xml:space="preserve">덮어쓰거나 지우세요</t>
    </r>
    <r>
      <rPr>
        <i val="true"/>
        <sz val="9"/>
        <color rgb="FF6B7A8C"/>
        <rFont val="Arial"/>
        <family val="0"/>
        <charset val="1"/>
      </rPr>
      <t xml:space="preserve">.</t>
    </r>
  </si>
  <si>
    <r>
      <rPr>
        <i val="true"/>
        <sz val="9"/>
        <color rgb="FF6B7A8C"/>
        <rFont val="Arial"/>
        <family val="0"/>
        <charset val="1"/>
      </rPr>
      <t xml:space="preserve">※ '</t>
    </r>
    <r>
      <rPr>
        <i val="true"/>
        <sz val="9"/>
        <color rgb="FF6B7A8C"/>
        <rFont val="WenQuanYi Zen Hei"/>
        <family val="2"/>
      </rPr>
      <t xml:space="preserve">구독 전환</t>
    </r>
    <r>
      <rPr>
        <i val="true"/>
        <sz val="9"/>
        <color rgb="FF6B7A8C"/>
        <rFont val="Arial"/>
        <family val="0"/>
        <charset val="1"/>
      </rPr>
      <t xml:space="preserve">'</t>
    </r>
    <r>
      <rPr>
        <i val="true"/>
        <sz val="9"/>
        <color rgb="FF6B7A8C"/>
        <rFont val="WenQuanYi Zen Hei"/>
        <family val="2"/>
      </rPr>
      <t xml:space="preserve">에 </t>
    </r>
    <r>
      <rPr>
        <i val="true"/>
        <sz val="9"/>
        <color rgb="FF6B7A8C"/>
        <rFont val="Arial"/>
        <family val="0"/>
        <charset val="1"/>
      </rPr>
      <t xml:space="preserve">Y</t>
    </r>
    <r>
      <rPr>
        <i val="true"/>
        <sz val="9"/>
        <color rgb="FF6B7A8C"/>
        <rFont val="WenQuanYi Zen Hei"/>
        <family val="2"/>
      </rPr>
      <t xml:space="preserve">를 넣는 순간 배포기록</t>
    </r>
    <r>
      <rPr>
        <i val="true"/>
        <sz val="9"/>
        <color rgb="FF6B7A8C"/>
        <rFont val="Arial"/>
        <family val="0"/>
        <charset val="1"/>
      </rPr>
      <t xml:space="preserve">·</t>
    </r>
    <r>
      <rPr>
        <i val="true"/>
        <sz val="9"/>
        <color rgb="FF6B7A8C"/>
        <rFont val="WenQuanYi Zen Hei"/>
        <family val="2"/>
      </rPr>
      <t xml:space="preserve">요약의 전환율이 함께 움직입니다</t>
    </r>
    <r>
      <rPr>
        <i val="true"/>
        <sz val="9"/>
        <color rgb="FF6B7A8C"/>
        <rFont val="Arial"/>
        <family val="0"/>
        <charset val="1"/>
      </rPr>
      <t xml:space="preserve">.</t>
    </r>
  </si>
  <si>
    <t xml:space="preserve">쓰는 법</t>
  </si>
  <si>
    <t xml:space="preserve">색 규칙</t>
  </si>
  <si>
    <r>
      <rPr>
        <b val="true"/>
        <sz val="10"/>
        <rFont val="WenQuanYi Zen Hei"/>
        <family val="2"/>
      </rPr>
      <t xml:space="preserve">노란 칸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파란 글씨</t>
    </r>
  </si>
  <si>
    <r>
      <rPr>
        <sz val="10"/>
        <rFont val="WenQuanYi Zen Hei"/>
        <family val="2"/>
      </rPr>
      <t xml:space="preserve">직접 입력하는 곳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이것만 채우면 됩니다</t>
    </r>
    <r>
      <rPr>
        <sz val="10"/>
        <rFont val="Arial"/>
        <family val="0"/>
        <charset val="1"/>
      </rPr>
      <t xml:space="preserve">.</t>
    </r>
  </si>
  <si>
    <t xml:space="preserve">검은 글씨</t>
  </si>
  <si>
    <r>
      <rPr>
        <sz val="10"/>
        <rFont val="WenQuanYi Zen Hei"/>
        <family val="2"/>
      </rPr>
      <t xml:space="preserve">수식이 계산합니다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건드리면 집계가 깨집니다</t>
    </r>
    <r>
      <rPr>
        <sz val="10"/>
        <rFont val="Arial"/>
        <family val="0"/>
        <charset val="1"/>
      </rPr>
      <t xml:space="preserve">.</t>
    </r>
  </si>
  <si>
    <t xml:space="preserve">순서</t>
  </si>
  <si>
    <t xml:space="preserve">① 배포 당일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</si>
  <si>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배포기록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에 단지명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배포일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배포 대수를 적습니다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차에서 바로</t>
    </r>
    <r>
      <rPr>
        <sz val="10"/>
        <rFont val="Arial"/>
        <family val="0"/>
        <charset val="1"/>
      </rPr>
      <t xml:space="preserve">.</t>
    </r>
  </si>
  <si>
    <t xml:space="preserve">② 문의가 올 때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</si>
  <si>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문의접수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에 한 줄 추가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코드는 목록에서 고릅니다</t>
    </r>
    <r>
      <rPr>
        <sz val="10"/>
        <rFont val="Arial"/>
        <family val="0"/>
        <charset val="1"/>
      </rPr>
      <t xml:space="preserve">.</t>
    </r>
  </si>
  <si>
    <t xml:space="preserve">③ 구독이 성사되면</t>
  </si>
  <si>
    <r>
      <rPr>
        <sz val="10"/>
        <rFont val="WenQuanYi Zen Hei"/>
        <family val="2"/>
      </rPr>
      <t xml:space="preserve">그 행의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구독 전환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</t>
    </r>
    <r>
      <rPr>
        <sz val="10"/>
        <rFont val="Arial"/>
        <family val="0"/>
        <charset val="1"/>
      </rPr>
      <t xml:space="preserve">Y</t>
    </r>
    <r>
      <rPr>
        <sz val="10"/>
        <rFont val="WenQuanYi Zen Hei"/>
        <family val="2"/>
      </rPr>
      <t xml:space="preserve">로 바꿉니다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나머지는 자동입니다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</si>
  <si>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④ 4</t>
    </r>
    <r>
      <rPr>
        <b val="true"/>
        <sz val="10"/>
        <rFont val="WenQuanYi Zen Hei"/>
        <family val="2"/>
      </rPr>
      <t xml:space="preserve">주 후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</si>
  <si>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 판정을 봅니다</t>
    </r>
    <r>
      <rPr>
        <sz val="10"/>
        <rFont val="Arial"/>
        <family val="0"/>
        <charset val="1"/>
      </rPr>
      <t xml:space="preserve">. '</t>
    </r>
    <r>
      <rPr>
        <sz val="10"/>
        <rFont val="WenQuanYi Zen Hei"/>
        <family val="2"/>
      </rPr>
      <t xml:space="preserve">집중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 뜬 단지에 자원을 몰아넣습니다</t>
    </r>
    <r>
      <rPr>
        <sz val="10"/>
        <rFont val="Arial"/>
        <family val="0"/>
        <charset val="1"/>
      </rPr>
      <t xml:space="preserve">.</t>
    </r>
  </si>
  <si>
    <t xml:space="preserve">코드 읽는 법</t>
  </si>
  <si>
    <r>
      <rPr>
        <sz val="10"/>
        <rFont val="Arial"/>
        <family val="0"/>
        <charset val="1"/>
      </rPr>
      <t xml:space="preserve">WJ=</t>
    </r>
    <r>
      <rPr>
        <sz val="10"/>
        <rFont val="WenQuanYi Zen Hei"/>
        <family val="2"/>
      </rPr>
      <t xml:space="preserve">운정 </t>
    </r>
    <r>
      <rPr>
        <sz val="10"/>
        <rFont val="Arial"/>
        <family val="0"/>
        <charset val="1"/>
      </rPr>
      <t xml:space="preserve">· A=</t>
    </r>
    <r>
      <rPr>
        <sz val="10"/>
        <rFont val="WenQuanYi Zen Hei"/>
        <family val="2"/>
      </rPr>
      <t xml:space="preserve">단지 </t>
    </r>
    <r>
      <rPr>
        <sz val="10"/>
        <rFont val="Arial"/>
        <family val="0"/>
        <charset val="1"/>
      </rPr>
      <t xml:space="preserve">· 1=</t>
    </r>
    <r>
      <rPr>
        <sz val="10"/>
        <rFont val="WenQuanYi Zen Hei"/>
        <family val="2"/>
      </rPr>
      <t xml:space="preserve">배포 회차</t>
    </r>
  </si>
  <si>
    <t xml:space="preserve">주의</t>
  </si>
  <si>
    <t xml:space="preserve">배포 대수를 빠뜨리지 마세요</t>
  </si>
  <si>
    <r>
      <rPr>
        <sz val="10"/>
        <rFont val="WenQuanYi Zen Hei"/>
        <family val="2"/>
      </rPr>
      <t xml:space="preserve">문의 수는 분자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배포 대수는 분모입니다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분모가 없으면 전환율이 안 나오고 실험 전체가 무의미해집니다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</si>
  <si>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문의접수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행은 예시입니다</t>
    </r>
  </si>
  <si>
    <r>
      <rPr>
        <sz val="10"/>
        <rFont val="WenQuanYi Zen Hei"/>
        <family val="2"/>
      </rPr>
      <t xml:space="preserve">집계는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행부터입니다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덮어쓰거나 지우셔도 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</si>
  <si>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판정 기준 </t>
    </r>
    <r>
      <rPr>
        <b val="true"/>
        <sz val="10"/>
        <rFont val="Arial"/>
        <family val="0"/>
        <charset val="1"/>
      </rPr>
      <t xml:space="preserve">3%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</si>
  <si>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' B4</t>
    </r>
    <r>
      <rPr>
        <sz val="10"/>
        <rFont val="WenQuanYi Zen Hei"/>
        <family val="2"/>
      </rPr>
      <t xml:space="preserve">에서 바꿀 수 있습니다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플레이북 </t>
    </r>
    <r>
      <rPr>
        <sz val="10"/>
        <rFont val="Arial"/>
        <family val="0"/>
        <charset val="1"/>
      </rPr>
      <t xml:space="preserve">§7.2 </t>
    </r>
    <r>
      <rPr>
        <sz val="10"/>
        <rFont val="WenQuanYi Zen Hei"/>
        <family val="2"/>
      </rPr>
      <t xml:space="preserve">보수 시나리오의 하한값입니다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</si>
</sst>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\원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365F"/>
      <name val="WenQuanYi Zen Hei"/>
      <family val="2"/>
    </font>
    <font>
      <i val="true"/>
      <sz val="9"/>
      <color rgb="FF6B7A8C"/>
      <name val="WenQuanYi Zen Hei"/>
      <family val="2"/>
    </font>
    <font>
      <i val="true"/>
      <sz val="9"/>
      <color rgb="FF6B7A8C"/>
      <name val="Arial"/>
      <family val="0"/>
      <charset val="1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12"/>
      <color rgb="FF16365F"/>
      <name val="WenQuanYi Zen Hei"/>
      <family val="2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F7FBD"/>
      <name val="WenQuanYi Zen Hei"/>
      <family val="2"/>
    </font>
    <font>
      <b val="true"/>
      <sz val="14"/>
      <color rgb="FF16365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CCFFCC"/>
      </patternFill>
    </fill>
    <fill>
      <patternFill patternType="solid">
        <fgColor rgb="FF16365F"/>
        <bgColor rgb="FF333333"/>
      </patternFill>
    </fill>
    <fill>
      <patternFill patternType="solid">
        <fgColor rgb="FFE3F0F9"/>
        <bgColor rgb="FFEFF3F7"/>
      </patternFill>
    </fill>
    <fill>
      <patternFill patternType="solid">
        <fgColor rgb="FFEFF3F7"/>
        <bgColor rgb="FFE3F0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C"/>
      <rgbColor rgb="FF9999FF"/>
      <rgbColor rgb="FF993366"/>
      <rgbColor rgb="FFEFF3F7"/>
      <rgbColor rgb="FFE3F0F9"/>
      <rgbColor rgb="FF660066"/>
      <rgbColor rgb="FFFF8080"/>
      <rgbColor rgb="FF0F7FBD"/>
      <rgbColor rgb="FFD7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6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7" min="5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0.03</v>
      </c>
      <c r="C4" s="2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customFormat="false" ht="15" hidden="false" customHeight="false" outlineLevel="0" collapsed="false">
      <c r="A8" s="7" t="s">
        <v>12</v>
      </c>
      <c r="B8" s="8" t="n">
        <f aca="false">SUMIF(배포기록!$J$4:$J$12,"A",배포기록!$D$4:$D$12)</f>
        <v>0</v>
      </c>
      <c r="C8" s="8" t="n">
        <f aca="false">SUMIF(배포기록!$J$4:$J$12,"A",배포기록!$E$4:$E$12)</f>
        <v>0</v>
      </c>
      <c r="D8" s="8" t="n">
        <f aca="false">SUMIF(배포기록!$J$4:$J$12,"A",배포기록!$F$4:$F$12)</f>
        <v>0</v>
      </c>
      <c r="E8" s="9" t="str">
        <f aca="false">IFERROR(C8/B8,"")</f>
        <v/>
      </c>
      <c r="F8" s="9" t="str">
        <f aca="false">IFERROR(D8/B8,"")</f>
        <v/>
      </c>
      <c r="G8" s="10" t="str">
        <f aca="false">IF(B8=0,"미집계",IF(F8&gt;=요약!$B$4,"집중","보류"))</f>
        <v>미집계</v>
      </c>
    </row>
    <row r="9" customFormat="false" ht="15" hidden="false" customHeight="false" outlineLevel="0" collapsed="false">
      <c r="A9" s="7" t="s">
        <v>13</v>
      </c>
      <c r="B9" s="8" t="n">
        <f aca="false">SUMIF(배포기록!$J$4:$J$12,"B",배포기록!$D$4:$D$12)</f>
        <v>0</v>
      </c>
      <c r="C9" s="8" t="n">
        <f aca="false">SUMIF(배포기록!$J$4:$J$12,"B",배포기록!$E$4:$E$12)</f>
        <v>0</v>
      </c>
      <c r="D9" s="8" t="n">
        <f aca="false">SUMIF(배포기록!$J$4:$J$12,"B",배포기록!$F$4:$F$12)</f>
        <v>0</v>
      </c>
      <c r="E9" s="9" t="str">
        <f aca="false">IFERROR(C9/B9,"")</f>
        <v/>
      </c>
      <c r="F9" s="9" t="str">
        <f aca="false">IFERROR(D9/B9,"")</f>
        <v/>
      </c>
      <c r="G9" s="10" t="str">
        <f aca="false">IF(B9=0,"미집계",IF(F9&gt;=요약!$B$4,"집중","보류"))</f>
        <v>미집계</v>
      </c>
    </row>
    <row r="10" customFormat="false" ht="15" hidden="false" customHeight="false" outlineLevel="0" collapsed="false">
      <c r="A10" s="7" t="s">
        <v>14</v>
      </c>
      <c r="B10" s="8" t="n">
        <f aca="false">SUMIF(배포기록!$J$4:$J$12,"C",배포기록!$D$4:$D$12)</f>
        <v>0</v>
      </c>
      <c r="C10" s="8" t="n">
        <f aca="false">SUMIF(배포기록!$J$4:$J$12,"C",배포기록!$E$4:$E$12)</f>
        <v>0</v>
      </c>
      <c r="D10" s="8" t="n">
        <f aca="false">SUMIF(배포기록!$J$4:$J$12,"C",배포기록!$F$4:$F$12)</f>
        <v>0</v>
      </c>
      <c r="E10" s="9" t="str">
        <f aca="false">IFERROR(C10/B10,"")</f>
        <v/>
      </c>
      <c r="F10" s="9" t="str">
        <f aca="false">IFERROR(D10/B10,"")</f>
        <v/>
      </c>
      <c r="G10" s="10" t="str">
        <f aca="false">IF(B10=0,"미집계",IF(F10&gt;=요약!$B$4,"집중","보류"))</f>
        <v>미집계</v>
      </c>
    </row>
    <row r="13" customFormat="false" ht="15" hidden="false" customHeight="false" outlineLevel="0" collapsed="false">
      <c r="A13" s="5" t="s">
        <v>15</v>
      </c>
    </row>
    <row r="14" customFormat="false" ht="15" hidden="false" customHeight="false" outlineLevel="0" collapsed="false">
      <c r="A14" s="6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G14" s="6" t="s">
        <v>11</v>
      </c>
    </row>
    <row r="15" customFormat="false" ht="15" hidden="false" customHeight="false" outlineLevel="0" collapsed="false">
      <c r="A15" s="7" t="s">
        <v>16</v>
      </c>
      <c r="B15" s="8" t="n">
        <f aca="false">SUMIF(배포기록!$K$4:$K$12,"1",배포기록!$D$4:$D$12)</f>
        <v>0</v>
      </c>
      <c r="C15" s="8" t="n">
        <f aca="false">SUMIF(배포기록!$K$4:$K$12,"1",배포기록!$E$4:$E$12)</f>
        <v>0</v>
      </c>
      <c r="D15" s="8" t="n">
        <f aca="false">SUMIF(배포기록!$K$4:$K$12,"1",배포기록!$F$4:$F$12)</f>
        <v>0</v>
      </c>
      <c r="E15" s="9" t="str">
        <f aca="false">IFERROR(C15/B15,"")</f>
        <v/>
      </c>
      <c r="F15" s="9" t="str">
        <f aca="false">IFERROR(D15/B15,"")</f>
        <v/>
      </c>
      <c r="G15" s="10" t="str">
        <f aca="false">IF(B15=0,"미집계",IF(F15&gt;=요약!$B$4,"집중","보류"))</f>
        <v>미집계</v>
      </c>
    </row>
    <row r="16" customFormat="false" ht="15" hidden="false" customHeight="false" outlineLevel="0" collapsed="false">
      <c r="A16" s="7" t="s">
        <v>17</v>
      </c>
      <c r="B16" s="8" t="n">
        <f aca="false">SUMIF(배포기록!$K$4:$K$12,"2",배포기록!$D$4:$D$12)</f>
        <v>0</v>
      </c>
      <c r="C16" s="8" t="n">
        <f aca="false">SUMIF(배포기록!$K$4:$K$12,"2",배포기록!$E$4:$E$12)</f>
        <v>0</v>
      </c>
      <c r="D16" s="8" t="n">
        <f aca="false">SUMIF(배포기록!$K$4:$K$12,"2",배포기록!$F$4:$F$12)</f>
        <v>0</v>
      </c>
      <c r="E16" s="9" t="str">
        <f aca="false">IFERROR(C16/B16,"")</f>
        <v/>
      </c>
      <c r="F16" s="9" t="str">
        <f aca="false">IFERROR(D16/B16,"")</f>
        <v/>
      </c>
      <c r="G16" s="10" t="str">
        <f aca="false">IF(B16=0,"미집계",IF(F16&gt;=요약!$B$4,"집중","보류"))</f>
        <v>미집계</v>
      </c>
    </row>
    <row r="17" customFormat="false" ht="15" hidden="false" customHeight="false" outlineLevel="0" collapsed="false">
      <c r="A17" s="7" t="s">
        <v>18</v>
      </c>
      <c r="B17" s="8" t="n">
        <f aca="false">SUMIF(배포기록!$K$4:$K$12,"3",배포기록!$D$4:$D$12)</f>
        <v>0</v>
      </c>
      <c r="C17" s="8" t="n">
        <f aca="false">SUMIF(배포기록!$K$4:$K$12,"3",배포기록!$E$4:$E$12)</f>
        <v>0</v>
      </c>
      <c r="D17" s="8" t="n">
        <f aca="false">SUMIF(배포기록!$K$4:$K$12,"3",배포기록!$F$4:$F$12)</f>
        <v>0</v>
      </c>
      <c r="E17" s="9" t="str">
        <f aca="false">IFERROR(C17/B17,"")</f>
        <v/>
      </c>
      <c r="F17" s="9" t="str">
        <f aca="false">IFERROR(D17/B17,"")</f>
        <v/>
      </c>
      <c r="G17" s="10" t="str">
        <f aca="false">IF(B17=0,"미집계",IF(F17&gt;=요약!$B$4,"집중","보류"))</f>
        <v>미집계</v>
      </c>
    </row>
    <row r="20" customFormat="false" ht="15" hidden="false" customHeight="false" outlineLevel="0" collapsed="false">
      <c r="A20" s="5" t="s">
        <v>19</v>
      </c>
    </row>
    <row r="21" customFormat="false" ht="15" hidden="false" customHeight="false" outlineLevel="0" collapsed="false">
      <c r="A21" s="6" t="s">
        <v>20</v>
      </c>
      <c r="B21" s="6" t="s">
        <v>7</v>
      </c>
      <c r="C21" s="6" t="s">
        <v>8</v>
      </c>
      <c r="D21" s="6" t="s">
        <v>21</v>
      </c>
    </row>
    <row r="22" customFormat="false" ht="15" hidden="false" customHeight="false" outlineLevel="0" collapsed="false">
      <c r="A22" s="7" t="s">
        <v>22</v>
      </c>
      <c r="B22" s="8" t="n">
        <f aca="false">COUNTIFS(문의접수!$E$5:$E$503,$A22)</f>
        <v>0</v>
      </c>
      <c r="C22" s="8" t="n">
        <f aca="false">COUNTIFS(문의접수!$E$5:$E$503,$A22,문의접수!$F$5:$F$503,"Y")</f>
        <v>0</v>
      </c>
      <c r="D22" s="9" t="str">
        <f aca="false">IFERROR(C22/B22,"")</f>
        <v/>
      </c>
    </row>
    <row r="23" customFormat="false" ht="15" hidden="false" customHeight="false" outlineLevel="0" collapsed="false">
      <c r="A23" s="11" t="s">
        <v>23</v>
      </c>
      <c r="B23" s="8" t="n">
        <f aca="false">COUNTIFS(문의접수!$E$5:$E$503,$A23)</f>
        <v>0</v>
      </c>
      <c r="C23" s="8" t="n">
        <f aca="false">COUNTIFS(문의접수!$E$5:$E$503,$A23,문의접수!$F$5:$F$503,"Y")</f>
        <v>0</v>
      </c>
      <c r="D23" s="9" t="str">
        <f aca="false">IFERROR(C23/B23,"")</f>
        <v/>
      </c>
    </row>
    <row r="24" customFormat="false" ht="15" hidden="false" customHeight="false" outlineLevel="0" collapsed="false">
      <c r="A24" s="11" t="s">
        <v>24</v>
      </c>
      <c r="B24" s="8" t="n">
        <f aca="false">COUNTIFS(문의접수!$E$5:$E$503,$A24)</f>
        <v>0</v>
      </c>
      <c r="C24" s="8" t="n">
        <f aca="false">COUNTIFS(문의접수!$E$5:$E$503,$A24,문의접수!$F$5:$F$503,"Y")</f>
        <v>0</v>
      </c>
      <c r="D24" s="9" t="str">
        <f aca="false">IFERROR(C24/B24,"")</f>
        <v/>
      </c>
    </row>
    <row r="25" customFormat="false" ht="15" hidden="false" customHeight="false" outlineLevel="0" collapsed="false">
      <c r="A25" s="11" t="s">
        <v>25</v>
      </c>
      <c r="B25" s="8" t="n">
        <f aca="false">COUNTIFS(문의접수!$E$5:$E$503,$A25)</f>
        <v>0</v>
      </c>
      <c r="C25" s="8" t="n">
        <f aca="false">COUNTIFS(문의접수!$E$5:$E$503,$A25,문의접수!$F$5:$F$503,"Y")</f>
        <v>0</v>
      </c>
      <c r="D25" s="9" t="str">
        <f aca="false">IFERROR(C25/B25,"")</f>
        <v/>
      </c>
    </row>
    <row r="26" customFormat="false" ht="15" hidden="false" customHeight="false" outlineLevel="0" collapsed="false">
      <c r="A26" s="11" t="s">
        <v>26</v>
      </c>
      <c r="B26" s="8" t="n">
        <f aca="false">COUNTIFS(문의접수!$E$5:$E$503,$A26)</f>
        <v>0</v>
      </c>
      <c r="C26" s="8" t="n">
        <f aca="false">COUNTIFS(문의접수!$E$5:$E$503,$A26,문의접수!$F$5:$F$503,"Y")</f>
        <v>0</v>
      </c>
      <c r="D26" s="9" t="str">
        <f aca="false">IFERROR(C26/B26,"")</f>
        <v/>
      </c>
    </row>
    <row r="27" customFormat="false" ht="15" hidden="false" customHeight="false" outlineLevel="0" collapsed="false">
      <c r="A27" s="11" t="s">
        <v>27</v>
      </c>
      <c r="B27" s="8" t="n">
        <f aca="false">COUNTIFS(문의접수!$E$5:$E$503,$A27)</f>
        <v>0</v>
      </c>
      <c r="C27" s="8" t="n">
        <f aca="false">COUNTIFS(문의접수!$E$5:$E$503,$A27,문의접수!$F$5:$F$503,"Y")</f>
        <v>0</v>
      </c>
      <c r="D27" s="9" t="str">
        <f aca="false">IFERROR(C27/B27,"")</f>
        <v/>
      </c>
    </row>
    <row r="28" customFormat="false" ht="15" hidden="false" customHeight="false" outlineLevel="0" collapsed="false">
      <c r="A28" s="11" t="s">
        <v>28</v>
      </c>
      <c r="B28" s="8" t="n">
        <f aca="false">COUNTIFS(문의접수!$E$5:$E$503,$A28)</f>
        <v>0</v>
      </c>
      <c r="C28" s="8" t="n">
        <f aca="false">COUNTIFS(문의접수!$E$5:$E$503,$A28,문의접수!$F$5:$F$503,"Y")</f>
        <v>0</v>
      </c>
      <c r="D28" s="9" t="str">
        <f aca="false">IFERROR(C28/B28,"")</f>
        <v/>
      </c>
    </row>
    <row r="29" customFormat="false" ht="15" hidden="false" customHeight="false" outlineLevel="0" collapsed="false">
      <c r="A29" s="11" t="s">
        <v>29</v>
      </c>
      <c r="B29" s="8" t="n">
        <f aca="false">COUNTIFS(문의접수!$E$5:$E$503,$A29)</f>
        <v>0</v>
      </c>
      <c r="C29" s="8" t="n">
        <f aca="false">COUNTIFS(문의접수!$E$5:$E$503,$A29,문의접수!$F$5:$F$503,"Y")</f>
        <v>0</v>
      </c>
      <c r="D29" s="9" t="str">
        <f aca="false">IFERROR(C29/B29,"")</f>
        <v/>
      </c>
    </row>
    <row r="30" customFormat="false" ht="15" hidden="false" customHeight="false" outlineLevel="0" collapsed="false">
      <c r="A30" s="2" t="s">
        <v>30</v>
      </c>
    </row>
    <row r="33" customFormat="false" ht="15" hidden="false" customHeight="false" outlineLevel="0" collapsed="false">
      <c r="A33" s="5" t="s">
        <v>31</v>
      </c>
    </row>
    <row r="34" customFormat="false" ht="15" hidden="false" customHeight="false" outlineLevel="0" collapsed="false">
      <c r="A34" s="11" t="s">
        <v>32</v>
      </c>
      <c r="B34" s="12" t="n">
        <f aca="false">배포기록!D13</f>
        <v>0</v>
      </c>
    </row>
    <row r="35" customFormat="false" ht="15" hidden="false" customHeight="false" outlineLevel="0" collapsed="false">
      <c r="A35" s="11" t="s">
        <v>33</v>
      </c>
      <c r="B35" s="12" t="n">
        <f aca="false">배포기록!E13</f>
        <v>0</v>
      </c>
    </row>
    <row r="36" customFormat="false" ht="15" hidden="false" customHeight="false" outlineLevel="0" collapsed="false">
      <c r="A36" s="11" t="s">
        <v>34</v>
      </c>
      <c r="B36" s="12" t="n">
        <f aca="false">배포기록!F13</f>
        <v>0</v>
      </c>
    </row>
    <row r="37" customFormat="false" ht="15" hidden="false" customHeight="false" outlineLevel="0" collapsed="false">
      <c r="A37" s="13" t="s">
        <v>35</v>
      </c>
      <c r="B37" s="14" t="str">
        <f aca="false">IFERROR(B36/B34,"")</f>
        <v/>
      </c>
    </row>
    <row r="38" customFormat="false" ht="15" hidden="false" customHeight="false" outlineLevel="0" collapsed="false">
      <c r="A38" s="11" t="s">
        <v>36</v>
      </c>
      <c r="B38" s="15" t="n">
        <f aca="false">B36*80000</f>
        <v>0</v>
      </c>
    </row>
    <row r="39" customFormat="false" ht="15" hidden="false" customHeight="false" outlineLevel="0" collapsed="false">
      <c r="A39" s="13" t="s">
        <v>37</v>
      </c>
      <c r="B39" s="16" t="str">
        <f aca="false">IF(SUM(B34)=0,"데이터 없음",INDEX($A$8:$A$10,MATCH(MAX($F$8:$F$10),$F$8:$F$10,0)))</f>
        <v>데이터 없음</v>
      </c>
      <c r="C39" s="1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1" min="10" style="0" width="7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6" t="s">
        <v>41</v>
      </c>
      <c r="B3" s="6" t="s">
        <v>42</v>
      </c>
      <c r="C3" s="6" t="s">
        <v>43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44</v>
      </c>
      <c r="K3" s="6" t="s">
        <v>45</v>
      </c>
    </row>
    <row r="4" customFormat="false" ht="15" hidden="false" customHeight="false" outlineLevel="0" collapsed="false">
      <c r="A4" s="18" t="s">
        <v>46</v>
      </c>
      <c r="B4" s="19"/>
      <c r="C4" s="20"/>
      <c r="D4" s="21"/>
      <c r="E4" s="8" t="n">
        <f aca="false">COUNTIFS(문의접수!$B$5:$B$503,$A4)</f>
        <v>0</v>
      </c>
      <c r="F4" s="8" t="n">
        <f aca="false">COUNTIFS(문의접수!$B$5:$B$503,$A4,문의접수!$F$5:$F$503,"Y")</f>
        <v>0</v>
      </c>
      <c r="G4" s="9" t="str">
        <f aca="false">IFERROR(E4/D4,"")</f>
        <v/>
      </c>
      <c r="H4" s="9" t="str">
        <f aca="false">IFERROR(F4/D4,"")</f>
        <v/>
      </c>
      <c r="I4" s="10" t="str">
        <f aca="false">IF(N(D4)=0,"미집계",IF(H4&gt;=요약!$B$4,"집중","보류"))</f>
        <v>미집계</v>
      </c>
      <c r="J4" s="10" t="str">
        <f aca="false">MID($A4,4,1)</f>
        <v>A</v>
      </c>
      <c r="K4" s="10" t="str">
        <f aca="false">MID($A4,5,1)</f>
        <v>1</v>
      </c>
    </row>
    <row r="5" customFormat="false" ht="15" hidden="false" customHeight="false" outlineLevel="0" collapsed="false">
      <c r="A5" s="18" t="s">
        <v>47</v>
      </c>
      <c r="B5" s="19"/>
      <c r="C5" s="20"/>
      <c r="D5" s="21"/>
      <c r="E5" s="8" t="n">
        <f aca="false">COUNTIFS(문의접수!$B$5:$B$503,$A5)</f>
        <v>0</v>
      </c>
      <c r="F5" s="8" t="n">
        <f aca="false">COUNTIFS(문의접수!$B$5:$B$503,$A5,문의접수!$F$5:$F$503,"Y")</f>
        <v>0</v>
      </c>
      <c r="G5" s="9" t="str">
        <f aca="false">IFERROR(E5/D5,"")</f>
        <v/>
      </c>
      <c r="H5" s="9" t="str">
        <f aca="false">IFERROR(F5/D5,"")</f>
        <v/>
      </c>
      <c r="I5" s="10" t="str">
        <f aca="false">IF(N(D5)=0,"미집계",IF(H5&gt;=요약!$B$4,"집중","보류"))</f>
        <v>미집계</v>
      </c>
      <c r="J5" s="10" t="str">
        <f aca="false">MID($A5,4,1)</f>
        <v>A</v>
      </c>
      <c r="K5" s="10" t="str">
        <f aca="false">MID($A5,5,1)</f>
        <v>2</v>
      </c>
    </row>
    <row r="6" customFormat="false" ht="15" hidden="false" customHeight="false" outlineLevel="0" collapsed="false">
      <c r="A6" s="18" t="s">
        <v>48</v>
      </c>
      <c r="B6" s="19"/>
      <c r="C6" s="20"/>
      <c r="D6" s="21"/>
      <c r="E6" s="8" t="n">
        <f aca="false">COUNTIFS(문의접수!$B$5:$B$503,$A6)</f>
        <v>0</v>
      </c>
      <c r="F6" s="8" t="n">
        <f aca="false">COUNTIFS(문의접수!$B$5:$B$503,$A6,문의접수!$F$5:$F$503,"Y")</f>
        <v>0</v>
      </c>
      <c r="G6" s="9" t="str">
        <f aca="false">IFERROR(E6/D6,"")</f>
        <v/>
      </c>
      <c r="H6" s="9" t="str">
        <f aca="false">IFERROR(F6/D6,"")</f>
        <v/>
      </c>
      <c r="I6" s="10" t="str">
        <f aca="false">IF(N(D6)=0,"미집계",IF(H6&gt;=요약!$B$4,"집중","보류"))</f>
        <v>미집계</v>
      </c>
      <c r="J6" s="10" t="str">
        <f aca="false">MID($A6,4,1)</f>
        <v>A</v>
      </c>
      <c r="K6" s="10" t="str">
        <f aca="false">MID($A6,5,1)</f>
        <v>3</v>
      </c>
    </row>
    <row r="7" customFormat="false" ht="15" hidden="false" customHeight="false" outlineLevel="0" collapsed="false">
      <c r="A7" s="18" t="s">
        <v>49</v>
      </c>
      <c r="B7" s="19"/>
      <c r="C7" s="20"/>
      <c r="D7" s="21"/>
      <c r="E7" s="8" t="n">
        <f aca="false">COUNTIFS(문의접수!$B$5:$B$503,$A7)</f>
        <v>0</v>
      </c>
      <c r="F7" s="8" t="n">
        <f aca="false">COUNTIFS(문의접수!$B$5:$B$503,$A7,문의접수!$F$5:$F$503,"Y")</f>
        <v>0</v>
      </c>
      <c r="G7" s="9" t="str">
        <f aca="false">IFERROR(E7/D7,"")</f>
        <v/>
      </c>
      <c r="H7" s="9" t="str">
        <f aca="false">IFERROR(F7/D7,"")</f>
        <v/>
      </c>
      <c r="I7" s="10" t="str">
        <f aca="false">IF(N(D7)=0,"미집계",IF(H7&gt;=요약!$B$4,"집중","보류"))</f>
        <v>미집계</v>
      </c>
      <c r="J7" s="10" t="str">
        <f aca="false">MID($A7,4,1)</f>
        <v>B</v>
      </c>
      <c r="K7" s="10" t="str">
        <f aca="false">MID($A7,5,1)</f>
        <v>1</v>
      </c>
    </row>
    <row r="8" customFormat="false" ht="15" hidden="false" customHeight="false" outlineLevel="0" collapsed="false">
      <c r="A8" s="18" t="s">
        <v>50</v>
      </c>
      <c r="B8" s="19"/>
      <c r="C8" s="20"/>
      <c r="D8" s="21"/>
      <c r="E8" s="8" t="n">
        <f aca="false">COUNTIFS(문의접수!$B$5:$B$503,$A8)</f>
        <v>0</v>
      </c>
      <c r="F8" s="8" t="n">
        <f aca="false">COUNTIFS(문의접수!$B$5:$B$503,$A8,문의접수!$F$5:$F$503,"Y")</f>
        <v>0</v>
      </c>
      <c r="G8" s="9" t="str">
        <f aca="false">IFERROR(E8/D8,"")</f>
        <v/>
      </c>
      <c r="H8" s="9" t="str">
        <f aca="false">IFERROR(F8/D8,"")</f>
        <v/>
      </c>
      <c r="I8" s="10" t="str">
        <f aca="false">IF(N(D8)=0,"미집계",IF(H8&gt;=요약!$B$4,"집중","보류"))</f>
        <v>미집계</v>
      </c>
      <c r="J8" s="10" t="str">
        <f aca="false">MID($A8,4,1)</f>
        <v>B</v>
      </c>
      <c r="K8" s="10" t="str">
        <f aca="false">MID($A8,5,1)</f>
        <v>2</v>
      </c>
    </row>
    <row r="9" customFormat="false" ht="15" hidden="false" customHeight="false" outlineLevel="0" collapsed="false">
      <c r="A9" s="18" t="s">
        <v>51</v>
      </c>
      <c r="B9" s="19"/>
      <c r="C9" s="20"/>
      <c r="D9" s="21"/>
      <c r="E9" s="8" t="n">
        <f aca="false">COUNTIFS(문의접수!$B$5:$B$503,$A9)</f>
        <v>0</v>
      </c>
      <c r="F9" s="8" t="n">
        <f aca="false">COUNTIFS(문의접수!$B$5:$B$503,$A9,문의접수!$F$5:$F$503,"Y")</f>
        <v>0</v>
      </c>
      <c r="G9" s="9" t="str">
        <f aca="false">IFERROR(E9/D9,"")</f>
        <v/>
      </c>
      <c r="H9" s="9" t="str">
        <f aca="false">IFERROR(F9/D9,"")</f>
        <v/>
      </c>
      <c r="I9" s="10" t="str">
        <f aca="false">IF(N(D9)=0,"미집계",IF(H9&gt;=요약!$B$4,"집중","보류"))</f>
        <v>미집계</v>
      </c>
      <c r="J9" s="10" t="str">
        <f aca="false">MID($A9,4,1)</f>
        <v>B</v>
      </c>
      <c r="K9" s="10" t="str">
        <f aca="false">MID($A9,5,1)</f>
        <v>3</v>
      </c>
    </row>
    <row r="10" customFormat="false" ht="15" hidden="false" customHeight="false" outlineLevel="0" collapsed="false">
      <c r="A10" s="18" t="s">
        <v>52</v>
      </c>
      <c r="B10" s="19"/>
      <c r="C10" s="20"/>
      <c r="D10" s="21"/>
      <c r="E10" s="8" t="n">
        <f aca="false">COUNTIFS(문의접수!$B$5:$B$503,$A10)</f>
        <v>0</v>
      </c>
      <c r="F10" s="8" t="n">
        <f aca="false">COUNTIFS(문의접수!$B$5:$B$503,$A10,문의접수!$F$5:$F$503,"Y")</f>
        <v>0</v>
      </c>
      <c r="G10" s="9" t="str">
        <f aca="false">IFERROR(E10/D10,"")</f>
        <v/>
      </c>
      <c r="H10" s="9" t="str">
        <f aca="false">IFERROR(F10/D10,"")</f>
        <v/>
      </c>
      <c r="I10" s="10" t="str">
        <f aca="false">IF(N(D10)=0,"미집계",IF(H10&gt;=요약!$B$4,"집중","보류"))</f>
        <v>미집계</v>
      </c>
      <c r="J10" s="10" t="str">
        <f aca="false">MID($A10,4,1)</f>
        <v>C</v>
      </c>
      <c r="K10" s="10" t="str">
        <f aca="false">MID($A10,5,1)</f>
        <v>1</v>
      </c>
    </row>
    <row r="11" customFormat="false" ht="15" hidden="false" customHeight="false" outlineLevel="0" collapsed="false">
      <c r="A11" s="18" t="s">
        <v>53</v>
      </c>
      <c r="B11" s="19"/>
      <c r="C11" s="20"/>
      <c r="D11" s="21"/>
      <c r="E11" s="8" t="n">
        <f aca="false">COUNTIFS(문의접수!$B$5:$B$503,$A11)</f>
        <v>0</v>
      </c>
      <c r="F11" s="8" t="n">
        <f aca="false">COUNTIFS(문의접수!$B$5:$B$503,$A11,문의접수!$F$5:$F$503,"Y")</f>
        <v>0</v>
      </c>
      <c r="G11" s="9" t="str">
        <f aca="false">IFERROR(E11/D11,"")</f>
        <v/>
      </c>
      <c r="H11" s="9" t="str">
        <f aca="false">IFERROR(F11/D11,"")</f>
        <v/>
      </c>
      <c r="I11" s="10" t="str">
        <f aca="false">IF(N(D11)=0,"미집계",IF(H11&gt;=요약!$B$4,"집중","보류"))</f>
        <v>미집계</v>
      </c>
      <c r="J11" s="10" t="str">
        <f aca="false">MID($A11,4,1)</f>
        <v>C</v>
      </c>
      <c r="K11" s="10" t="str">
        <f aca="false">MID($A11,5,1)</f>
        <v>2</v>
      </c>
    </row>
    <row r="12" customFormat="false" ht="15" hidden="false" customHeight="false" outlineLevel="0" collapsed="false">
      <c r="A12" s="18" t="s">
        <v>54</v>
      </c>
      <c r="B12" s="19"/>
      <c r="C12" s="20"/>
      <c r="D12" s="21"/>
      <c r="E12" s="8" t="n">
        <f aca="false">COUNTIFS(문의접수!$B$5:$B$503,$A12)</f>
        <v>0</v>
      </c>
      <c r="F12" s="8" t="n">
        <f aca="false">COUNTIFS(문의접수!$B$5:$B$503,$A12,문의접수!$F$5:$F$503,"Y")</f>
        <v>0</v>
      </c>
      <c r="G12" s="9" t="str">
        <f aca="false">IFERROR(E12/D12,"")</f>
        <v/>
      </c>
      <c r="H12" s="9" t="str">
        <f aca="false">IFERROR(F12/D12,"")</f>
        <v/>
      </c>
      <c r="I12" s="10" t="str">
        <f aca="false">IF(N(D12)=0,"미집계",IF(H12&gt;=요약!$B$4,"집중","보류"))</f>
        <v>미집계</v>
      </c>
      <c r="J12" s="10" t="str">
        <f aca="false">MID($A12,4,1)</f>
        <v>C</v>
      </c>
      <c r="K12" s="10" t="str">
        <f aca="false">MID($A12,5,1)</f>
        <v>3</v>
      </c>
    </row>
    <row r="13" customFormat="false" ht="15" hidden="false" customHeight="false" outlineLevel="0" collapsed="false">
      <c r="A13" s="13" t="s">
        <v>55</v>
      </c>
      <c r="B13" s="22"/>
      <c r="C13" s="22"/>
      <c r="D13" s="23" t="n">
        <f aca="false">SUM(D4:D12)</f>
        <v>0</v>
      </c>
      <c r="E13" s="23" t="n">
        <f aca="false">SUM(E4:E12)</f>
        <v>0</v>
      </c>
      <c r="F13" s="23" t="n">
        <f aca="false">SUM(F4:F12)</f>
        <v>0</v>
      </c>
      <c r="G13" s="14" t="str">
        <f aca="false">IFERROR(E13/D13,"")</f>
        <v/>
      </c>
      <c r="H13" s="14" t="str">
        <f aca="false">IFERROR(F13/D13,"")</f>
        <v/>
      </c>
      <c r="I13" s="22"/>
      <c r="J13" s="22"/>
      <c r="K13" s="22"/>
    </row>
    <row r="15" customFormat="false" ht="15" hidden="false" customHeight="false" outlineLevel="0" collapsed="false">
      <c r="A15" s="17" t="s">
        <v>56</v>
      </c>
    </row>
    <row r="16" customFormat="false" ht="15" hidden="false" customHeight="false" outlineLevel="0" collapsed="false">
      <c r="A16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9" min="9" style="0" width="40"/>
  </cols>
  <sheetData>
    <row r="1" customFormat="false" ht="19.4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3" customFormat="false" ht="15" hidden="false" customHeight="false" outlineLevel="0" collapsed="false">
      <c r="A3" s="6" t="s">
        <v>60</v>
      </c>
      <c r="B3" s="6" t="s">
        <v>41</v>
      </c>
      <c r="C3" s="6" t="s">
        <v>61</v>
      </c>
      <c r="D3" s="6" t="s">
        <v>62</v>
      </c>
      <c r="E3" s="6" t="s">
        <v>20</v>
      </c>
      <c r="F3" s="6" t="s">
        <v>8</v>
      </c>
      <c r="G3" s="6" t="s">
        <v>63</v>
      </c>
      <c r="H3" s="6" t="s">
        <v>64</v>
      </c>
      <c r="I3" s="6" t="s">
        <v>65</v>
      </c>
    </row>
    <row r="4" customFormat="false" ht="15" hidden="false" customHeight="false" outlineLevel="0" collapsed="false">
      <c r="A4" s="24" t="s">
        <v>66</v>
      </c>
      <c r="B4" s="24" t="s">
        <v>46</v>
      </c>
      <c r="C4" s="25" t="s">
        <v>67</v>
      </c>
      <c r="D4" s="24" t="s">
        <v>68</v>
      </c>
      <c r="E4" s="24" t="s">
        <v>69</v>
      </c>
      <c r="F4" s="24" t="s">
        <v>70</v>
      </c>
      <c r="G4" s="24" t="s">
        <v>71</v>
      </c>
      <c r="H4" s="26" t="n">
        <v>80000</v>
      </c>
      <c r="I4" s="25" t="s">
        <v>72</v>
      </c>
    </row>
    <row r="5" customFormat="false" ht="15" hidden="false" customHeight="false" outlineLevel="0" collapsed="false">
      <c r="A5" s="27"/>
      <c r="B5" s="28"/>
      <c r="C5" s="28"/>
      <c r="D5" s="28"/>
      <c r="E5" s="28"/>
      <c r="F5" s="28"/>
      <c r="G5" s="27"/>
      <c r="H5" s="29"/>
      <c r="I5" s="28"/>
    </row>
    <row r="6" customFormat="false" ht="15" hidden="false" customHeight="false" outlineLevel="0" collapsed="false">
      <c r="A6" s="27"/>
      <c r="B6" s="28"/>
      <c r="C6" s="28"/>
      <c r="D6" s="28"/>
      <c r="E6" s="28"/>
      <c r="F6" s="28"/>
      <c r="G6" s="27"/>
      <c r="H6" s="29"/>
      <c r="I6" s="28"/>
    </row>
    <row r="7" customFormat="false" ht="15" hidden="false" customHeight="false" outlineLevel="0" collapsed="false">
      <c r="A7" s="27"/>
      <c r="B7" s="28"/>
      <c r="C7" s="28"/>
      <c r="D7" s="28"/>
      <c r="E7" s="28"/>
      <c r="F7" s="28"/>
      <c r="G7" s="27"/>
      <c r="H7" s="29"/>
      <c r="I7" s="28"/>
    </row>
    <row r="8" customFormat="false" ht="15" hidden="false" customHeight="false" outlineLevel="0" collapsed="false">
      <c r="A8" s="27"/>
      <c r="B8" s="28"/>
      <c r="C8" s="28"/>
      <c r="D8" s="28"/>
      <c r="E8" s="28"/>
      <c r="F8" s="28"/>
      <c r="G8" s="27"/>
      <c r="H8" s="29"/>
      <c r="I8" s="28"/>
    </row>
    <row r="9" customFormat="false" ht="15" hidden="false" customHeight="false" outlineLevel="0" collapsed="false">
      <c r="A9" s="27"/>
      <c r="B9" s="28"/>
      <c r="C9" s="28"/>
      <c r="D9" s="28"/>
      <c r="E9" s="28"/>
      <c r="F9" s="28"/>
      <c r="G9" s="27"/>
      <c r="H9" s="29"/>
      <c r="I9" s="28"/>
    </row>
    <row r="10" customFormat="false" ht="15" hidden="false" customHeight="false" outlineLevel="0" collapsed="false">
      <c r="A10" s="27"/>
      <c r="B10" s="28"/>
      <c r="C10" s="28"/>
      <c r="D10" s="28"/>
      <c r="E10" s="28"/>
      <c r="F10" s="28"/>
      <c r="G10" s="27"/>
      <c r="H10" s="29"/>
      <c r="I10" s="28"/>
    </row>
    <row r="11" customFormat="false" ht="15" hidden="false" customHeight="false" outlineLevel="0" collapsed="false">
      <c r="A11" s="27"/>
      <c r="B11" s="28"/>
      <c r="C11" s="28"/>
      <c r="D11" s="28"/>
      <c r="E11" s="28"/>
      <c r="F11" s="28"/>
      <c r="G11" s="27"/>
      <c r="H11" s="29"/>
      <c r="I11" s="28"/>
    </row>
    <row r="12" customFormat="false" ht="15" hidden="false" customHeight="false" outlineLevel="0" collapsed="false">
      <c r="A12" s="27"/>
      <c r="B12" s="28"/>
      <c r="C12" s="28"/>
      <c r="D12" s="28"/>
      <c r="E12" s="28"/>
      <c r="F12" s="28"/>
      <c r="G12" s="27"/>
      <c r="H12" s="29"/>
      <c r="I12" s="28"/>
    </row>
    <row r="13" customFormat="false" ht="15" hidden="false" customHeight="false" outlineLevel="0" collapsed="false">
      <c r="A13" s="27"/>
      <c r="B13" s="28"/>
      <c r="C13" s="28"/>
      <c r="D13" s="28"/>
      <c r="E13" s="28"/>
      <c r="F13" s="28"/>
      <c r="G13" s="27"/>
      <c r="H13" s="29"/>
      <c r="I13" s="28"/>
    </row>
    <row r="14" customFormat="false" ht="15" hidden="false" customHeight="false" outlineLevel="0" collapsed="false">
      <c r="A14" s="27"/>
      <c r="B14" s="28"/>
      <c r="C14" s="28"/>
      <c r="D14" s="28"/>
      <c r="E14" s="28"/>
      <c r="F14" s="28"/>
      <c r="G14" s="27"/>
      <c r="H14" s="29"/>
      <c r="I14" s="28"/>
    </row>
    <row r="15" customFormat="false" ht="15" hidden="false" customHeight="false" outlineLevel="0" collapsed="false">
      <c r="A15" s="27"/>
      <c r="B15" s="28"/>
      <c r="C15" s="28"/>
      <c r="D15" s="28"/>
      <c r="E15" s="28"/>
      <c r="F15" s="28"/>
      <c r="G15" s="27"/>
      <c r="H15" s="29"/>
      <c r="I15" s="28"/>
    </row>
    <row r="16" customFormat="false" ht="15" hidden="false" customHeight="false" outlineLevel="0" collapsed="false">
      <c r="A16" s="27"/>
      <c r="B16" s="28"/>
      <c r="C16" s="28"/>
      <c r="D16" s="28"/>
      <c r="E16" s="28"/>
      <c r="F16" s="28"/>
      <c r="G16" s="27"/>
      <c r="H16" s="29"/>
      <c r="I16" s="28"/>
    </row>
    <row r="17" customFormat="false" ht="15" hidden="false" customHeight="false" outlineLevel="0" collapsed="false">
      <c r="A17" s="27"/>
      <c r="B17" s="28"/>
      <c r="C17" s="28"/>
      <c r="D17" s="28"/>
      <c r="E17" s="28"/>
      <c r="F17" s="28"/>
      <c r="G17" s="27"/>
      <c r="H17" s="29"/>
      <c r="I17" s="28"/>
    </row>
    <row r="18" customFormat="false" ht="15" hidden="false" customHeight="false" outlineLevel="0" collapsed="false">
      <c r="A18" s="27"/>
      <c r="B18" s="28"/>
      <c r="C18" s="28"/>
      <c r="D18" s="28"/>
      <c r="E18" s="28"/>
      <c r="F18" s="28"/>
      <c r="G18" s="27"/>
      <c r="H18" s="29"/>
      <c r="I18" s="28"/>
    </row>
    <row r="19" customFormat="false" ht="15" hidden="false" customHeight="false" outlineLevel="0" collapsed="false">
      <c r="A19" s="27"/>
      <c r="B19" s="28"/>
      <c r="C19" s="28"/>
      <c r="D19" s="28"/>
      <c r="E19" s="28"/>
      <c r="F19" s="28"/>
      <c r="G19" s="27"/>
      <c r="H19" s="29"/>
      <c r="I19" s="28"/>
    </row>
    <row r="20" customFormat="false" ht="15" hidden="false" customHeight="false" outlineLevel="0" collapsed="false">
      <c r="A20" s="27"/>
      <c r="B20" s="28"/>
      <c r="C20" s="28"/>
      <c r="D20" s="28"/>
      <c r="E20" s="28"/>
      <c r="F20" s="28"/>
      <c r="G20" s="27"/>
      <c r="H20" s="29"/>
      <c r="I20" s="28"/>
    </row>
    <row r="21" customFormat="false" ht="15" hidden="false" customHeight="false" outlineLevel="0" collapsed="false">
      <c r="A21" s="27"/>
      <c r="B21" s="28"/>
      <c r="C21" s="28"/>
      <c r="D21" s="28"/>
      <c r="E21" s="28"/>
      <c r="F21" s="28"/>
      <c r="G21" s="27"/>
      <c r="H21" s="29"/>
      <c r="I21" s="28"/>
    </row>
    <row r="22" customFormat="false" ht="15" hidden="false" customHeight="false" outlineLevel="0" collapsed="false">
      <c r="A22" s="27"/>
      <c r="B22" s="28"/>
      <c r="C22" s="28"/>
      <c r="D22" s="28"/>
      <c r="E22" s="28"/>
      <c r="F22" s="28"/>
      <c r="G22" s="27"/>
      <c r="H22" s="29"/>
      <c r="I22" s="28"/>
    </row>
    <row r="23" customFormat="false" ht="15" hidden="false" customHeight="false" outlineLevel="0" collapsed="false">
      <c r="A23" s="27"/>
      <c r="B23" s="28"/>
      <c r="C23" s="28"/>
      <c r="D23" s="28"/>
      <c r="E23" s="28"/>
      <c r="F23" s="28"/>
      <c r="G23" s="27"/>
      <c r="H23" s="29"/>
      <c r="I23" s="28"/>
    </row>
    <row r="24" customFormat="false" ht="15" hidden="false" customHeight="false" outlineLevel="0" collapsed="false">
      <c r="A24" s="27"/>
      <c r="B24" s="28"/>
      <c r="C24" s="28"/>
      <c r="D24" s="28"/>
      <c r="E24" s="28"/>
      <c r="F24" s="28"/>
      <c r="G24" s="27"/>
      <c r="H24" s="29"/>
      <c r="I24" s="28"/>
    </row>
    <row r="25" customFormat="false" ht="15" hidden="false" customHeight="false" outlineLevel="0" collapsed="false">
      <c r="A25" s="27"/>
      <c r="B25" s="28"/>
      <c r="C25" s="28"/>
      <c r="D25" s="28"/>
      <c r="E25" s="28"/>
      <c r="F25" s="28"/>
      <c r="G25" s="27"/>
      <c r="H25" s="29"/>
      <c r="I25" s="28"/>
    </row>
    <row r="26" customFormat="false" ht="15" hidden="false" customHeight="false" outlineLevel="0" collapsed="false">
      <c r="A26" s="27"/>
      <c r="B26" s="28"/>
      <c r="C26" s="28"/>
      <c r="D26" s="28"/>
      <c r="E26" s="28"/>
      <c r="F26" s="28"/>
      <c r="G26" s="27"/>
      <c r="H26" s="29"/>
      <c r="I26" s="28"/>
    </row>
    <row r="27" customFormat="false" ht="15" hidden="false" customHeight="false" outlineLevel="0" collapsed="false">
      <c r="A27" s="27"/>
      <c r="B27" s="28"/>
      <c r="C27" s="28"/>
      <c r="D27" s="28"/>
      <c r="E27" s="28"/>
      <c r="F27" s="28"/>
      <c r="G27" s="27"/>
      <c r="H27" s="29"/>
      <c r="I27" s="28"/>
    </row>
    <row r="28" customFormat="false" ht="15" hidden="false" customHeight="false" outlineLevel="0" collapsed="false">
      <c r="A28" s="27"/>
      <c r="B28" s="28"/>
      <c r="C28" s="28"/>
      <c r="D28" s="28"/>
      <c r="E28" s="28"/>
      <c r="F28" s="28"/>
      <c r="G28" s="27"/>
      <c r="H28" s="29"/>
      <c r="I28" s="28"/>
    </row>
    <row r="29" customFormat="false" ht="15" hidden="false" customHeight="false" outlineLevel="0" collapsed="false">
      <c r="A29" s="27"/>
      <c r="B29" s="28"/>
      <c r="C29" s="28"/>
      <c r="D29" s="28"/>
      <c r="E29" s="28"/>
      <c r="F29" s="28"/>
      <c r="G29" s="27"/>
      <c r="H29" s="29"/>
      <c r="I29" s="28"/>
    </row>
    <row r="30" customFormat="false" ht="15" hidden="false" customHeight="false" outlineLevel="0" collapsed="false">
      <c r="A30" s="27"/>
      <c r="B30" s="28"/>
      <c r="C30" s="28"/>
      <c r="D30" s="28"/>
      <c r="E30" s="28"/>
      <c r="F30" s="28"/>
      <c r="G30" s="27"/>
      <c r="H30" s="29"/>
      <c r="I30" s="28"/>
    </row>
    <row r="31" customFormat="false" ht="15" hidden="false" customHeight="false" outlineLevel="0" collapsed="false">
      <c r="A31" s="27"/>
      <c r="B31" s="28"/>
      <c r="C31" s="28"/>
      <c r="D31" s="28"/>
      <c r="E31" s="28"/>
      <c r="F31" s="28"/>
      <c r="G31" s="27"/>
      <c r="H31" s="29"/>
      <c r="I31" s="28"/>
    </row>
    <row r="32" customFormat="false" ht="15" hidden="false" customHeight="false" outlineLevel="0" collapsed="false">
      <c r="A32" s="27"/>
      <c r="B32" s="28"/>
      <c r="C32" s="28"/>
      <c r="D32" s="28"/>
      <c r="E32" s="28"/>
      <c r="F32" s="28"/>
      <c r="G32" s="27"/>
      <c r="H32" s="29"/>
      <c r="I32" s="28"/>
    </row>
    <row r="33" customFormat="false" ht="15" hidden="false" customHeight="false" outlineLevel="0" collapsed="false">
      <c r="A33" s="27"/>
      <c r="B33" s="28"/>
      <c r="C33" s="28"/>
      <c r="D33" s="28"/>
      <c r="E33" s="28"/>
      <c r="F33" s="28"/>
      <c r="G33" s="27"/>
      <c r="H33" s="29"/>
      <c r="I33" s="28"/>
    </row>
    <row r="34" customFormat="false" ht="15" hidden="false" customHeight="false" outlineLevel="0" collapsed="false">
      <c r="A34" s="27"/>
      <c r="B34" s="28"/>
      <c r="C34" s="28"/>
      <c r="D34" s="28"/>
      <c r="E34" s="28"/>
      <c r="F34" s="28"/>
      <c r="G34" s="27"/>
      <c r="H34" s="29"/>
      <c r="I34" s="28"/>
    </row>
    <row r="35" customFormat="false" ht="15" hidden="false" customHeight="false" outlineLevel="0" collapsed="false">
      <c r="A35" s="27"/>
      <c r="B35" s="28"/>
      <c r="C35" s="28"/>
      <c r="D35" s="28"/>
      <c r="E35" s="28"/>
      <c r="F35" s="28"/>
      <c r="G35" s="27"/>
      <c r="H35" s="29"/>
      <c r="I35" s="28"/>
    </row>
    <row r="36" customFormat="false" ht="15" hidden="false" customHeight="false" outlineLevel="0" collapsed="false">
      <c r="A36" s="27"/>
      <c r="B36" s="28"/>
      <c r="C36" s="28"/>
      <c r="D36" s="28"/>
      <c r="E36" s="28"/>
      <c r="F36" s="28"/>
      <c r="G36" s="27"/>
      <c r="H36" s="29"/>
      <c r="I36" s="28"/>
    </row>
    <row r="37" customFormat="false" ht="15" hidden="false" customHeight="false" outlineLevel="0" collapsed="false">
      <c r="A37" s="27"/>
      <c r="B37" s="28"/>
      <c r="C37" s="28"/>
      <c r="D37" s="28"/>
      <c r="E37" s="28"/>
      <c r="F37" s="28"/>
      <c r="G37" s="27"/>
      <c r="H37" s="29"/>
      <c r="I37" s="28"/>
    </row>
    <row r="38" customFormat="false" ht="15" hidden="false" customHeight="false" outlineLevel="0" collapsed="false">
      <c r="A38" s="27"/>
      <c r="B38" s="28"/>
      <c r="C38" s="28"/>
      <c r="D38" s="28"/>
      <c r="E38" s="28"/>
      <c r="F38" s="28"/>
      <c r="G38" s="27"/>
      <c r="H38" s="29"/>
      <c r="I38" s="28"/>
    </row>
    <row r="39" customFormat="false" ht="15" hidden="false" customHeight="false" outlineLevel="0" collapsed="false">
      <c r="A39" s="27"/>
      <c r="B39" s="28"/>
      <c r="C39" s="28"/>
      <c r="D39" s="28"/>
      <c r="E39" s="28"/>
      <c r="F39" s="28"/>
      <c r="G39" s="27"/>
      <c r="H39" s="29"/>
      <c r="I39" s="28"/>
    </row>
    <row r="40" customFormat="false" ht="15" hidden="false" customHeight="false" outlineLevel="0" collapsed="false">
      <c r="A40" s="27"/>
      <c r="B40" s="28"/>
      <c r="C40" s="28"/>
      <c r="D40" s="28"/>
      <c r="E40" s="28"/>
      <c r="F40" s="28"/>
      <c r="G40" s="27"/>
      <c r="H40" s="29"/>
      <c r="I40" s="28"/>
    </row>
    <row r="41" customFormat="false" ht="15" hidden="false" customHeight="false" outlineLevel="0" collapsed="false">
      <c r="A41" s="27"/>
      <c r="B41" s="28"/>
      <c r="C41" s="28"/>
      <c r="D41" s="28"/>
      <c r="E41" s="28"/>
      <c r="F41" s="28"/>
      <c r="G41" s="27"/>
      <c r="H41" s="29"/>
      <c r="I41" s="28"/>
    </row>
    <row r="42" customFormat="false" ht="15" hidden="false" customHeight="false" outlineLevel="0" collapsed="false">
      <c r="A42" s="27"/>
      <c r="B42" s="28"/>
      <c r="C42" s="28"/>
      <c r="D42" s="28"/>
      <c r="E42" s="28"/>
      <c r="F42" s="28"/>
      <c r="G42" s="27"/>
      <c r="H42" s="29"/>
      <c r="I42" s="28"/>
    </row>
    <row r="43" customFormat="false" ht="15" hidden="false" customHeight="false" outlineLevel="0" collapsed="false">
      <c r="A43" s="27"/>
      <c r="B43" s="28"/>
      <c r="C43" s="28"/>
      <c r="D43" s="28"/>
      <c r="E43" s="28"/>
      <c r="F43" s="28"/>
      <c r="G43" s="27"/>
      <c r="H43" s="29"/>
      <c r="I43" s="28"/>
    </row>
    <row r="44" customFormat="false" ht="15" hidden="false" customHeight="false" outlineLevel="0" collapsed="false">
      <c r="A44" s="27"/>
      <c r="B44" s="28"/>
      <c r="C44" s="28"/>
      <c r="D44" s="28"/>
      <c r="E44" s="28"/>
      <c r="F44" s="28"/>
      <c r="G44" s="27"/>
      <c r="H44" s="29"/>
      <c r="I44" s="28"/>
    </row>
    <row r="46" customFormat="false" ht="15" hidden="false" customHeight="false" outlineLevel="0" collapsed="false">
      <c r="A46" s="17" t="s">
        <v>73</v>
      </c>
    </row>
  </sheetData>
  <dataValidations count="3">
    <dataValidation allowBlank="true" errorStyle="stop" operator="between" showDropDown="false" showErrorMessage="false" showInputMessage="false" sqref="B5:B503" type="list">
      <formula1>"WJ-A1,WJ-A2,WJ-A3,WJ-B1,WJ-B2,WJ-B3,WJ-C1,WJ-C2,WJ-C3"</formula1>
      <formula2>0</formula2>
    </dataValidation>
    <dataValidation allowBlank="true" errorStyle="stop" operator="between" showDropDown="false" showErrorMessage="false" showInputMessage="false" sqref="E5:E503" type="list">
      <formula1>"QR문자,전화,카톡,대면,인스타,네이버,당근,기타"</formula1>
      <formula2>0</formula2>
    </dataValidation>
    <dataValidation allowBlank="true" errorStyle="stop" operator="between" showDropDown="false" showErrorMessage="false" showInputMessage="false" sqref="F5:F50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3"/>
      <c r="B2" s="30"/>
    </row>
    <row r="3" customFormat="false" ht="15" hidden="false" customHeight="false" outlineLevel="0" collapsed="false">
      <c r="A3" s="5" t="s">
        <v>75</v>
      </c>
    </row>
    <row r="4" customFormat="false" ht="15" hidden="false" customHeight="false" outlineLevel="0" collapsed="false">
      <c r="A4" s="3" t="s">
        <v>76</v>
      </c>
      <c r="B4" s="31" t="s">
        <v>77</v>
      </c>
    </row>
    <row r="5" customFormat="false" ht="15" hidden="false" customHeight="false" outlineLevel="0" collapsed="false">
      <c r="A5" s="3" t="s">
        <v>78</v>
      </c>
      <c r="B5" s="31" t="s">
        <v>79</v>
      </c>
    </row>
    <row r="6" customFormat="false" ht="15" hidden="false" customHeight="false" outlineLevel="0" collapsed="false">
      <c r="A6" s="3"/>
      <c r="B6" s="30"/>
    </row>
    <row r="7" customFormat="false" ht="15" hidden="false" customHeight="false" outlineLevel="0" collapsed="false">
      <c r="A7" s="5" t="s">
        <v>80</v>
      </c>
    </row>
    <row r="8" customFormat="false" ht="15" hidden="false" customHeight="false" outlineLevel="0" collapsed="false">
      <c r="A8" s="3" t="s">
        <v>81</v>
      </c>
      <c r="B8" s="30" t="s">
        <v>82</v>
      </c>
    </row>
    <row r="9" customFormat="false" ht="15" hidden="false" customHeight="false" outlineLevel="0" collapsed="false">
      <c r="A9" s="3" t="s">
        <v>83</v>
      </c>
      <c r="B9" s="30" t="s">
        <v>84</v>
      </c>
    </row>
    <row r="10" customFormat="false" ht="15" hidden="false" customHeight="false" outlineLevel="0" collapsed="false">
      <c r="A10" s="3" t="s">
        <v>85</v>
      </c>
      <c r="B10" s="31" t="s">
        <v>86</v>
      </c>
    </row>
    <row r="11" customFormat="false" ht="15" hidden="false" customHeight="false" outlineLevel="0" collapsed="false">
      <c r="A11" s="32" t="s">
        <v>87</v>
      </c>
      <c r="B11" s="30" t="s">
        <v>88</v>
      </c>
    </row>
    <row r="12" customFormat="false" ht="15" hidden="false" customHeight="false" outlineLevel="0" collapsed="false">
      <c r="A12" s="3"/>
      <c r="B12" s="30"/>
    </row>
    <row r="13" customFormat="false" ht="15" hidden="false" customHeight="false" outlineLevel="0" collapsed="false">
      <c r="A13" s="5" t="s">
        <v>89</v>
      </c>
    </row>
    <row r="14" customFormat="false" ht="15" hidden="false" customHeight="false" outlineLevel="0" collapsed="false">
      <c r="A14" s="32" t="s">
        <v>46</v>
      </c>
      <c r="B14" s="30" t="s">
        <v>90</v>
      </c>
    </row>
    <row r="15" customFormat="false" ht="15" hidden="false" customHeight="false" outlineLevel="0" collapsed="false">
      <c r="A15" s="3"/>
      <c r="B15" s="30"/>
    </row>
    <row r="16" customFormat="false" ht="15" hidden="false" customHeight="false" outlineLevel="0" collapsed="false">
      <c r="A16" s="5" t="s">
        <v>91</v>
      </c>
    </row>
    <row r="17" customFormat="false" ht="15" hidden="false" customHeight="false" outlineLevel="0" collapsed="false">
      <c r="A17" s="3" t="s">
        <v>92</v>
      </c>
      <c r="B17" s="31" t="s">
        <v>93</v>
      </c>
    </row>
    <row r="18" customFormat="false" ht="15" hidden="false" customHeight="false" outlineLevel="0" collapsed="false">
      <c r="A18" s="3" t="s">
        <v>94</v>
      </c>
      <c r="B18" s="31" t="s">
        <v>95</v>
      </c>
    </row>
    <row r="19" customFormat="false" ht="15" hidden="false" customHeight="false" outlineLevel="0" collapsed="false">
      <c r="A19" s="3" t="s">
        <v>96</v>
      </c>
      <c r="B19" s="3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2026-08-09T01:21:24Z</dcterms:created>
  <dc:creator>openpyxl</dc:creator>
  <dc:description/>
  <dc:language>en-US</dc:language>
  <cp:lastModifiedBy/>
  <dcterms:modified xsi:type="dcterms:W3CDTF">2026-08-09T01:21:24Z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